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ckages" sheetId="1" state="visible" r:id="rId3"/>
    <sheet name="Inputs" sheetId="2" state="visible" r:id="rId4"/>
    <sheet name="Cost per prospe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<sst xmlns="http://schemas.openxmlformats.org/spreadsheetml/2006/main" count="87" uniqueCount="87">
  <si>
    <t xml:space="preserve">Cost, price and margin per client: change the yellow cells here and on Inputs</t>
  </si>
  <si>
    <t xml:space="preserve">Package</t>
  </si>
  <si>
    <t xml:space="preserve">Price (Rs)</t>
  </si>
  <si>
    <t xml:space="preserve">People</t>
  </si>
  <si>
    <t xml:space="preserve">Founder hours</t>
  </si>
  <si>
    <t xml:space="preserve">Tool cost (Rs, e.g. LGM)</t>
  </si>
  <si>
    <t xml:space="preserve">Claude cost (Rs)</t>
  </si>
  <si>
    <t xml:space="preserve">Setup (Rs)</t>
  </si>
  <si>
    <t xml:space="preserve">Gateway fee (Rs)</t>
  </si>
  <si>
    <t xml:space="preserve">GST (Rs)</t>
  </si>
  <si>
    <t xml:space="preserve">Fixed cost share (Rs)</t>
  </si>
  <si>
    <t xml:space="preserve">Founder time (Rs)</t>
  </si>
  <si>
    <t xml:space="preserve">Total cost (Rs)</t>
  </si>
  <si>
    <t xml:space="preserve">Profit (Rs)</t>
  </si>
  <si>
    <t xml:space="preserve">Margin %</t>
  </si>
  <si>
    <t xml:space="preserve">Cash margin % (excl. founder time)</t>
  </si>
  <si>
    <t xml:space="preserve">Sprint, 7 days</t>
  </si>
  <si>
    <t xml:space="preserve">Standard, 14 days</t>
  </si>
  <si>
    <t xml:space="preserve">Full, 21 days</t>
  </si>
  <si>
    <t xml:space="preserve">Done-for-you (founding)</t>
  </si>
  <si>
    <t xml:space="preserve">Done-for-you (standard)</t>
  </si>
  <si>
    <t xml:space="preserve">Notes: Claude cost uses the step assumptions on Inputs (estimates until measured with the cost command). Done-for-you tool cost = one La Growth Machine Basic identity month (about $70). Founder hours are estimates.</t>
  </si>
  <si>
    <t xml:space="preserve">Knock unit economics: change the yellow cells</t>
  </si>
  <si>
    <t xml:space="preserve">General</t>
  </si>
  <si>
    <t xml:space="preserve">USD to INR</t>
  </si>
  <si>
    <t xml:space="preserve">Payment gateway fee % (Razorpay 2% + 18% GST on fee)</t>
  </si>
  <si>
    <t xml:space="preserve">Charge GST to client? (1 yes, 0 no; needed above Rs 20 lakh turnover)</t>
  </si>
  <si>
    <t xml:space="preserve">GST rate</t>
  </si>
  <si>
    <t xml:space="preserve">Founder or operator cost per hour (Rs)</t>
  </si>
  <si>
    <t xml:space="preserve">what your time is worth</t>
  </si>
  <si>
    <t xml:space="preserve">Monthly fixed costs (Rs): Vercel Pro, domain, misc</t>
  </si>
  <si>
    <t xml:space="preserve">Clients per month (to spread fixed costs)</t>
  </si>
  <si>
    <t xml:space="preserve">Model prices (USD per million tokens)</t>
  </si>
  <si>
    <t xml:space="preserve">Opus 5.5 input</t>
  </si>
  <si>
    <t xml:space="preserve">Opus 5.5 output</t>
  </si>
  <si>
    <t xml:space="preserve">Sonnet 5.5 input</t>
  </si>
  <si>
    <t xml:space="preserve">Sonnet 5.5 output</t>
  </si>
  <si>
    <t xml:space="preserve">Haiku 4.5 input</t>
  </si>
  <si>
    <t xml:space="preserve">Haiku 4.5 output</t>
  </si>
  <si>
    <t xml:space="preserve">Web search, USD per search</t>
  </si>
  <si>
    <t xml:space="preserve">Prompt caching saving on input (0 to 0.6)</t>
  </si>
  <si>
    <t xml:space="preserve">repeated system prompts</t>
  </si>
  <si>
    <t xml:space="preserve">Per-prospect work (output includes thinking). Model: 1 Opus, 2 Sonnet, 3 Haiku</t>
  </si>
  <si>
    <t xml:space="preserve">Classify: input tokens</t>
  </si>
  <si>
    <t xml:space="preserve">Classify: output tokens</t>
  </si>
  <si>
    <t xml:space="preserve">Classify: model</t>
  </si>
  <si>
    <t xml:space="preserve">Enrich: searches</t>
  </si>
  <si>
    <t xml:space="preserve">Enrich: input tokens</t>
  </si>
  <si>
    <t xml:space="preserve">Enrich: output tokens</t>
  </si>
  <si>
    <t xml:space="preserve">Enrich: model</t>
  </si>
  <si>
    <t xml:space="preserve">Hooks: input tokens</t>
  </si>
  <si>
    <t xml:space="preserve">Hooks: output tokens</t>
  </si>
  <si>
    <t xml:space="preserve">Hooks: model</t>
  </si>
  <si>
    <t xml:space="preserve">Writers: count</t>
  </si>
  <si>
    <t xml:space="preserve">Writer: input tokens each</t>
  </si>
  <si>
    <t xml:space="preserve">Writer: output tokens each</t>
  </si>
  <si>
    <t xml:space="preserve">Writers: model</t>
  </si>
  <si>
    <t xml:space="preserve">Judge: input tokens</t>
  </si>
  <si>
    <t xml:space="preserve">Judge: output tokens</t>
  </si>
  <si>
    <t xml:space="preserve">Judge: model</t>
  </si>
  <si>
    <t xml:space="preserve">Discovery searches per prospect (amortised)</t>
  </si>
  <si>
    <t xml:space="preserve">Conversation</t>
  </si>
  <si>
    <t xml:space="preserve">Share of prospects that get a follow-up</t>
  </si>
  <si>
    <t xml:space="preserve">Follow-up: input tokens</t>
  </si>
  <si>
    <t xml:space="preserve">Follow-up: output tokens</t>
  </si>
  <si>
    <t xml:space="preserve">Follow-up: model</t>
  </si>
  <si>
    <t xml:space="preserve">Reply rate</t>
  </si>
  <si>
    <t xml:space="preserve">replies per prospect</t>
  </si>
  <si>
    <t xml:space="preserve">Exchanges per reply</t>
  </si>
  <si>
    <t xml:space="preserve">Reply draft: input tokens</t>
  </si>
  <si>
    <t xml:space="preserve">Reply draft: output tokens</t>
  </si>
  <si>
    <t xml:space="preserve">Reply draft: model</t>
  </si>
  <si>
    <t xml:space="preserve">Per client setup (USD): profile extraction + learning runs</t>
  </si>
  <si>
    <t xml:space="preserve">Claude cost per prospect</t>
  </si>
  <si>
    <t xml:space="preserve">Step</t>
  </si>
  <si>
    <t xml:space="preserve">USD</t>
  </si>
  <si>
    <t xml:space="preserve">INR</t>
  </si>
  <si>
    <t xml:space="preserve">Classify</t>
  </si>
  <si>
    <t xml:space="preserve">Enrich (model)</t>
  </si>
  <si>
    <t xml:space="preserve">Enrich (searches)</t>
  </si>
  <si>
    <t xml:space="preserve">Discovery searches</t>
  </si>
  <si>
    <t xml:space="preserve">Hooks</t>
  </si>
  <si>
    <t xml:space="preserve">Writers</t>
  </si>
  <si>
    <t xml:space="preserve">Judge</t>
  </si>
  <si>
    <t xml:space="preserve">Follow-ups</t>
  </si>
  <si>
    <t xml:space="preserve">Reply drafts</t>
  </si>
  <si>
    <t xml:space="preserve">Total per prospect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</si>
</sst>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00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E9E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41.7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customFormat="false" ht="15" hidden="false" customHeight="false" outlineLevel="0" collapsed="false">
      <c r="A4" s="0" t="s">
        <v>16</v>
      </c>
      <c r="B4" s="3" t="n">
        <v>2499</v>
      </c>
      <c r="C4" s="3" t="n">
        <v>60</v>
      </c>
      <c r="D4" s="3" t="n">
        <v>5</v>
      </c>
      <c r="E4" s="3" t="n">
        <v>0</v>
      </c>
      <c r="F4" s="4" t="n">
        <f aca="false">C4*'Cost per prospect'!$C$13</f>
        <v>975.6384</v>
      </c>
      <c r="G4" s="4" t="n">
        <f aca="false">Inputs!$B$49*Inputs!$B$4</f>
        <v>44</v>
      </c>
      <c r="H4" s="4" t="n">
        <f aca="false">B4*Inputs!$B$5</f>
        <v>58.9764</v>
      </c>
      <c r="I4" s="4" t="n">
        <f aca="false">B4-B4/(1+Inputs!$B$7*Inputs!$B$6)</f>
        <v>0</v>
      </c>
      <c r="J4" s="4" t="n">
        <f aca="false">Inputs!$B$9/Inputs!$B$10</f>
        <v>500</v>
      </c>
      <c r="K4" s="4" t="n">
        <f aca="false">D4*Inputs!$B$8</f>
        <v>2500</v>
      </c>
      <c r="L4" s="4" t="n">
        <f aca="false">SUM(E4:K4)</f>
        <v>4078.6148</v>
      </c>
      <c r="M4" s="4" t="n">
        <f aca="false">B4-L4</f>
        <v>-1579.6148</v>
      </c>
      <c r="N4" s="5" t="n">
        <f aca="false">M4/B4</f>
        <v>-0.632098759503802</v>
      </c>
      <c r="O4" s="5" t="n">
        <f aca="false">(M4+K4)/B4</f>
        <v>0.368301400560224</v>
      </c>
    </row>
    <row r="5" customFormat="false" ht="15" hidden="false" customHeight="false" outlineLevel="0" collapsed="false">
      <c r="A5" s="0" t="s">
        <v>17</v>
      </c>
      <c r="B5" s="3" t="n">
        <v>3999</v>
      </c>
      <c r="C5" s="3" t="n">
        <v>120</v>
      </c>
      <c r="D5" s="3" t="n">
        <v>8</v>
      </c>
      <c r="E5" s="3" t="n">
        <v>0</v>
      </c>
      <c r="F5" s="4" t="n">
        <f aca="false">C5*'Cost per prospect'!$C$13</f>
        <v>1951.2768</v>
      </c>
      <c r="G5" s="4" t="n">
        <f aca="false">Inputs!$B$49*Inputs!$B$4</f>
        <v>44</v>
      </c>
      <c r="H5" s="4" t="n">
        <f aca="false">B5*Inputs!$B$5</f>
        <v>94.3764</v>
      </c>
      <c r="I5" s="4" t="n">
        <f aca="false">B5-B5/(1+Inputs!$B$7*Inputs!$B$6)</f>
        <v>0</v>
      </c>
      <c r="J5" s="4" t="n">
        <f aca="false">Inputs!$B$9/Inputs!$B$10</f>
        <v>500</v>
      </c>
      <c r="K5" s="4" t="n">
        <f aca="false">D5*Inputs!$B$8</f>
        <v>4000</v>
      </c>
      <c r="L5" s="4" t="n">
        <f aca="false">SUM(E5:K5)</f>
        <v>6589.6532</v>
      </c>
      <c r="M5" s="4" t="n">
        <f aca="false">B5-L5</f>
        <v>-2590.6532</v>
      </c>
      <c r="N5" s="5" t="n">
        <f aca="false">M5/B5</f>
        <v>-0.647825256314079</v>
      </c>
      <c r="O5" s="5" t="n">
        <f aca="false">(M5+K5)/B5</f>
        <v>0.35242480620155</v>
      </c>
    </row>
    <row r="6" customFormat="false" ht="15" hidden="false" customHeight="false" outlineLevel="0" collapsed="false">
      <c r="A6" s="0" t="s">
        <v>18</v>
      </c>
      <c r="B6" s="3" t="n">
        <v>5499</v>
      </c>
      <c r="C6" s="3" t="n">
        <v>180</v>
      </c>
      <c r="D6" s="3" t="n">
        <v>11</v>
      </c>
      <c r="E6" s="3" t="n">
        <v>0</v>
      </c>
      <c r="F6" s="4" t="n">
        <f aca="false">C6*'Cost per prospect'!$C$13</f>
        <v>2926.9152</v>
      </c>
      <c r="G6" s="4" t="n">
        <f aca="false">Inputs!$B$49*Inputs!$B$4</f>
        <v>44</v>
      </c>
      <c r="H6" s="4" t="n">
        <f aca="false">B6*Inputs!$B$5</f>
        <v>129.7764</v>
      </c>
      <c r="I6" s="4" t="n">
        <f aca="false">B6-B6/(1+Inputs!$B$7*Inputs!$B$6)</f>
        <v>0</v>
      </c>
      <c r="J6" s="4" t="n">
        <f aca="false">Inputs!$B$9/Inputs!$B$10</f>
        <v>500</v>
      </c>
      <c r="K6" s="4" t="n">
        <f aca="false">D6*Inputs!$B$8</f>
        <v>5500</v>
      </c>
      <c r="L6" s="4" t="n">
        <f aca="false">SUM(E6:K6)</f>
        <v>9100.6916</v>
      </c>
      <c r="M6" s="4" t="n">
        <f aca="false">B6-L6</f>
        <v>-3601.6916</v>
      </c>
      <c r="N6" s="5" t="n">
        <f aca="false">M6/B6</f>
        <v>-0.654972104018913</v>
      </c>
      <c r="O6" s="5" t="n">
        <f aca="false">(M6+K6)/B6</f>
        <v>0.345209747226769</v>
      </c>
    </row>
    <row r="7" customFormat="false" ht="15" hidden="false" customHeight="false" outlineLevel="0" collapsed="false">
      <c r="A7" s="0" t="s">
        <v>19</v>
      </c>
      <c r="B7" s="3" t="n">
        <v>14999</v>
      </c>
      <c r="C7" s="3" t="n">
        <v>180</v>
      </c>
      <c r="D7" s="3" t="n">
        <v>16</v>
      </c>
      <c r="E7" s="3" t="n">
        <v>6160</v>
      </c>
      <c r="F7" s="4" t="n">
        <f aca="false">C7*'Cost per prospect'!$C$13</f>
        <v>2926.9152</v>
      </c>
      <c r="G7" s="4" t="n">
        <f aca="false">Inputs!$B$49*Inputs!$B$4</f>
        <v>44</v>
      </c>
      <c r="H7" s="4" t="n">
        <f aca="false">B7*Inputs!$B$5</f>
        <v>353.9764</v>
      </c>
      <c r="I7" s="4" t="n">
        <f aca="false">B7-B7/(1+Inputs!$B$7*Inputs!$B$6)</f>
        <v>0</v>
      </c>
      <c r="J7" s="4" t="n">
        <f aca="false">Inputs!$B$9/Inputs!$B$10</f>
        <v>500</v>
      </c>
      <c r="K7" s="4" t="n">
        <f aca="false">D7*Inputs!$B$8</f>
        <v>8000</v>
      </c>
      <c r="L7" s="4" t="n">
        <f aca="false">SUM(E7:K7)</f>
        <v>17984.8916</v>
      </c>
      <c r="M7" s="4" t="n">
        <f aca="false">B7-L7</f>
        <v>-2985.8916</v>
      </c>
      <c r="N7" s="5" t="n">
        <f aca="false">M7/B7</f>
        <v>-0.199072711514101</v>
      </c>
      <c r="O7" s="5" t="n">
        <f aca="false">(M7+K7)/B7</f>
        <v>0.334296179745316</v>
      </c>
    </row>
    <row r="8" customFormat="false" ht="15" hidden="false" customHeight="false" outlineLevel="0" collapsed="false">
      <c r="A8" s="0" t="s">
        <v>20</v>
      </c>
      <c r="B8" s="3" t="n">
        <v>19999</v>
      </c>
      <c r="C8" s="3" t="n">
        <v>180</v>
      </c>
      <c r="D8" s="3" t="n">
        <v>16</v>
      </c>
      <c r="E8" s="3" t="n">
        <v>6160</v>
      </c>
      <c r="F8" s="4" t="n">
        <f aca="false">C8*'Cost per prospect'!$C$13</f>
        <v>2926.9152</v>
      </c>
      <c r="G8" s="4" t="n">
        <f aca="false">Inputs!$B$49*Inputs!$B$4</f>
        <v>44</v>
      </c>
      <c r="H8" s="4" t="n">
        <f aca="false">B8*Inputs!$B$5</f>
        <v>471.9764</v>
      </c>
      <c r="I8" s="4" t="n">
        <f aca="false">B8-B8/(1+Inputs!$B$7*Inputs!$B$6)</f>
        <v>0</v>
      </c>
      <c r="J8" s="4" t="n">
        <f aca="false">Inputs!$B$9/Inputs!$B$10</f>
        <v>500</v>
      </c>
      <c r="K8" s="4" t="n">
        <f aca="false">D8*Inputs!$B$8</f>
        <v>8000</v>
      </c>
      <c r="L8" s="4" t="n">
        <f aca="false">SUM(E8:K8)</f>
        <v>18102.8916</v>
      </c>
      <c r="M8" s="4" t="n">
        <f aca="false">B8-L8</f>
        <v>1896.1084</v>
      </c>
      <c r="N8" s="5" t="n">
        <f aca="false">M8/B8</f>
        <v>0.0948101605080253</v>
      </c>
      <c r="O8" s="5" t="n">
        <f aca="false">(M8+K8)/B8</f>
        <v>0.494830161508075</v>
      </c>
    </row>
    <row r="11" customFormat="false" ht="15" hidden="false" customHeight="false" outlineLevel="0" collapsed="false">
      <c r="A11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4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6" t="s">
        <v>23</v>
      </c>
    </row>
    <row r="4" customFormat="false" ht="15" hidden="false" customHeight="false" outlineLevel="0" collapsed="false">
      <c r="A4" s="0" t="s">
        <v>24</v>
      </c>
      <c r="B4" s="3" t="n">
        <v>88</v>
      </c>
    </row>
    <row r="5" customFormat="false" ht="15" hidden="false" customHeight="false" outlineLevel="0" collapsed="false">
      <c r="A5" s="0" t="s">
        <v>25</v>
      </c>
      <c r="B5" s="3" t="n">
        <v>0.0236</v>
      </c>
    </row>
    <row r="6" customFormat="false" ht="15" hidden="false" customHeight="false" outlineLevel="0" collapsed="false">
      <c r="A6" s="0" t="s">
        <v>26</v>
      </c>
      <c r="B6" s="3" t="n">
        <v>0</v>
      </c>
    </row>
    <row r="7" customFormat="false" ht="15" hidden="false" customHeight="false" outlineLevel="0" collapsed="false">
      <c r="A7" s="0" t="s">
        <v>27</v>
      </c>
      <c r="B7" s="3" t="n">
        <v>0.18</v>
      </c>
    </row>
    <row r="8" customFormat="false" ht="15" hidden="false" customHeight="false" outlineLevel="0" collapsed="false">
      <c r="A8" s="0" t="s">
        <v>28</v>
      </c>
      <c r="B8" s="3" t="n">
        <v>500</v>
      </c>
      <c r="C8" s="7" t="s">
        <v>29</v>
      </c>
    </row>
    <row r="9" customFormat="false" ht="15" hidden="false" customHeight="false" outlineLevel="0" collapsed="false">
      <c r="A9" s="0" t="s">
        <v>30</v>
      </c>
      <c r="B9" s="3" t="n">
        <v>2500</v>
      </c>
    </row>
    <row r="10" customFormat="false" ht="15" hidden="false" customHeight="false" outlineLevel="0" collapsed="false">
      <c r="A10" s="0" t="s">
        <v>31</v>
      </c>
      <c r="B10" s="3" t="n">
        <v>5</v>
      </c>
    </row>
    <row r="11" customFormat="false" ht="15" hidden="false" customHeight="false" outlineLevel="0" collapsed="false">
      <c r="A11" s="6" t="s">
        <v>32</v>
      </c>
    </row>
    <row r="12" customFormat="false" ht="15" hidden="false" customHeight="false" outlineLevel="0" collapsed="false">
      <c r="A12" s="0" t="s">
        <v>33</v>
      </c>
      <c r="B12" s="3" t="n">
        <v>4</v>
      </c>
    </row>
    <row r="13" customFormat="false" ht="15" hidden="false" customHeight="false" outlineLevel="0" collapsed="false">
      <c r="A13" s="0" t="s">
        <v>34</v>
      </c>
      <c r="B13" s="3" t="n">
        <v>20</v>
      </c>
    </row>
    <row r="14" customFormat="false" ht="15" hidden="false" customHeight="false" outlineLevel="0" collapsed="false">
      <c r="A14" s="0" t="s">
        <v>35</v>
      </c>
      <c r="B14" s="3" t="n">
        <v>2</v>
      </c>
    </row>
    <row r="15" customFormat="false" ht="15" hidden="false" customHeight="false" outlineLevel="0" collapsed="false">
      <c r="A15" s="0" t="s">
        <v>36</v>
      </c>
      <c r="B15" s="3" t="n">
        <v>10</v>
      </c>
    </row>
    <row r="16" customFormat="false" ht="15" hidden="false" customHeight="false" outlineLevel="0" collapsed="false">
      <c r="A16" s="0" t="s">
        <v>37</v>
      </c>
      <c r="B16" s="3" t="n">
        <v>1</v>
      </c>
    </row>
    <row r="17" customFormat="false" ht="15" hidden="false" customHeight="false" outlineLevel="0" collapsed="false">
      <c r="A17" s="0" t="s">
        <v>38</v>
      </c>
      <c r="B17" s="3" t="n">
        <v>5</v>
      </c>
    </row>
    <row r="18" customFormat="false" ht="15" hidden="false" customHeight="false" outlineLevel="0" collapsed="false">
      <c r="A18" s="0" t="s">
        <v>39</v>
      </c>
      <c r="B18" s="3" t="n">
        <v>0.01</v>
      </c>
    </row>
    <row r="19" customFormat="false" ht="15" hidden="false" customHeight="false" outlineLevel="0" collapsed="false">
      <c r="A19" s="0" t="s">
        <v>40</v>
      </c>
      <c r="B19" s="3" t="n">
        <v>0.3</v>
      </c>
      <c r="C19" s="7" t="s">
        <v>41</v>
      </c>
    </row>
    <row r="20" customFormat="false" ht="15" hidden="false" customHeight="false" outlineLevel="0" collapsed="false">
      <c r="A20" s="6" t="s">
        <v>42</v>
      </c>
    </row>
    <row r="21" customFormat="false" ht="15" hidden="false" customHeight="false" outlineLevel="0" collapsed="false">
      <c r="A21" s="0" t="s">
        <v>43</v>
      </c>
      <c r="B21" s="3" t="n">
        <v>2000</v>
      </c>
    </row>
    <row r="22" customFormat="false" ht="15" hidden="false" customHeight="false" outlineLevel="0" collapsed="false">
      <c r="A22" s="0" t="s">
        <v>44</v>
      </c>
      <c r="B22" s="3" t="n">
        <v>300</v>
      </c>
    </row>
    <row r="23" customFormat="false" ht="15" hidden="false" customHeight="false" outlineLevel="0" collapsed="false">
      <c r="A23" s="0" t="s">
        <v>45</v>
      </c>
      <c r="B23" s="3" t="n">
        <v>3</v>
      </c>
    </row>
    <row r="24" customFormat="false" ht="15" hidden="false" customHeight="false" outlineLevel="0" collapsed="false">
      <c r="A24" s="0" t="s">
        <v>46</v>
      </c>
      <c r="B24" s="3" t="n">
        <v>2</v>
      </c>
    </row>
    <row r="25" customFormat="false" ht="15" hidden="false" customHeight="false" outlineLevel="0" collapsed="false">
      <c r="A25" s="0" t="s">
        <v>47</v>
      </c>
      <c r="B25" s="3" t="n">
        <v>6000</v>
      </c>
    </row>
    <row r="26" customFormat="false" ht="15" hidden="false" customHeight="false" outlineLevel="0" collapsed="false">
      <c r="A26" s="0" t="s">
        <v>48</v>
      </c>
      <c r="B26" s="3" t="n">
        <v>800</v>
      </c>
    </row>
    <row r="27" customFormat="false" ht="15" hidden="false" customHeight="false" outlineLevel="0" collapsed="false">
      <c r="A27" s="0" t="s">
        <v>49</v>
      </c>
      <c r="B27" s="3" t="n">
        <v>2</v>
      </c>
    </row>
    <row r="28" customFormat="false" ht="15" hidden="false" customHeight="false" outlineLevel="0" collapsed="false">
      <c r="A28" s="0" t="s">
        <v>50</v>
      </c>
      <c r="B28" s="3" t="n">
        <v>6000</v>
      </c>
    </row>
    <row r="29" customFormat="false" ht="15" hidden="false" customHeight="false" outlineLevel="0" collapsed="false">
      <c r="A29" s="0" t="s">
        <v>51</v>
      </c>
      <c r="B29" s="3" t="n">
        <v>1500</v>
      </c>
    </row>
    <row r="30" customFormat="false" ht="15" hidden="false" customHeight="false" outlineLevel="0" collapsed="false">
      <c r="A30" s="0" t="s">
        <v>52</v>
      </c>
      <c r="B30" s="3" t="n">
        <v>1</v>
      </c>
    </row>
    <row r="31" customFormat="false" ht="15" hidden="false" customHeight="false" outlineLevel="0" collapsed="false">
      <c r="A31" s="0" t="s">
        <v>53</v>
      </c>
      <c r="B31" s="3" t="n">
        <v>3</v>
      </c>
    </row>
    <row r="32" customFormat="false" ht="15" hidden="false" customHeight="false" outlineLevel="0" collapsed="false">
      <c r="A32" s="0" t="s">
        <v>54</v>
      </c>
      <c r="B32" s="3" t="n">
        <v>3000</v>
      </c>
    </row>
    <row r="33" customFormat="false" ht="15" hidden="false" customHeight="false" outlineLevel="0" collapsed="false">
      <c r="A33" s="0" t="s">
        <v>55</v>
      </c>
      <c r="B33" s="3" t="n">
        <v>600</v>
      </c>
    </row>
    <row r="34" customFormat="false" ht="15" hidden="false" customHeight="false" outlineLevel="0" collapsed="false">
      <c r="A34" s="0" t="s">
        <v>56</v>
      </c>
      <c r="B34" s="3" t="n">
        <v>2</v>
      </c>
    </row>
    <row r="35" customFormat="false" ht="15" hidden="false" customHeight="false" outlineLevel="0" collapsed="false">
      <c r="A35" s="0" t="s">
        <v>57</v>
      </c>
      <c r="B35" s="3" t="n">
        <v>4000</v>
      </c>
    </row>
    <row r="36" customFormat="false" ht="15" hidden="false" customHeight="false" outlineLevel="0" collapsed="false">
      <c r="A36" s="0" t="s">
        <v>58</v>
      </c>
      <c r="B36" s="3" t="n">
        <v>800</v>
      </c>
    </row>
    <row r="37" customFormat="false" ht="15" hidden="false" customHeight="false" outlineLevel="0" collapsed="false">
      <c r="A37" s="0" t="s">
        <v>59</v>
      </c>
      <c r="B37" s="3" t="n">
        <v>1</v>
      </c>
    </row>
    <row r="38" customFormat="false" ht="15" hidden="false" customHeight="false" outlineLevel="0" collapsed="false">
      <c r="A38" s="0" t="s">
        <v>60</v>
      </c>
      <c r="B38" s="3" t="n">
        <v>1</v>
      </c>
    </row>
    <row r="39" customFormat="false" ht="15" hidden="false" customHeight="false" outlineLevel="0" collapsed="false">
      <c r="A39" s="6" t="s">
        <v>61</v>
      </c>
    </row>
    <row r="40" customFormat="false" ht="15" hidden="false" customHeight="false" outlineLevel="0" collapsed="false">
      <c r="A40" s="0" t="s">
        <v>62</v>
      </c>
      <c r="B40" s="3" t="n">
        <v>0.7</v>
      </c>
    </row>
    <row r="41" customFormat="false" ht="15" hidden="false" customHeight="false" outlineLevel="0" collapsed="false">
      <c r="A41" s="0" t="s">
        <v>63</v>
      </c>
      <c r="B41" s="3" t="n">
        <v>3000</v>
      </c>
    </row>
    <row r="42" customFormat="false" ht="15" hidden="false" customHeight="false" outlineLevel="0" collapsed="false">
      <c r="A42" s="0" t="s">
        <v>64</v>
      </c>
      <c r="B42" s="3" t="n">
        <v>500</v>
      </c>
    </row>
    <row r="43" customFormat="false" ht="15" hidden="false" customHeight="false" outlineLevel="0" collapsed="false">
      <c r="A43" s="0" t="s">
        <v>65</v>
      </c>
      <c r="B43" s="3" t="n">
        <v>1</v>
      </c>
    </row>
    <row r="44" customFormat="false" ht="15" hidden="false" customHeight="false" outlineLevel="0" collapsed="false">
      <c r="A44" s="0" t="s">
        <v>66</v>
      </c>
      <c r="B44" s="3" t="n">
        <v>0.3</v>
      </c>
      <c r="C44" s="7" t="s">
        <v>67</v>
      </c>
    </row>
    <row r="45" customFormat="false" ht="15" hidden="false" customHeight="false" outlineLevel="0" collapsed="false">
      <c r="A45" s="0" t="s">
        <v>68</v>
      </c>
      <c r="B45" s="3" t="n">
        <v>2</v>
      </c>
    </row>
    <row r="46" customFormat="false" ht="15" hidden="false" customHeight="false" outlineLevel="0" collapsed="false">
      <c r="A46" s="0" t="s">
        <v>69</v>
      </c>
      <c r="B46" s="3" t="n">
        <v>5000</v>
      </c>
    </row>
    <row r="47" customFormat="false" ht="15" hidden="false" customHeight="false" outlineLevel="0" collapsed="false">
      <c r="A47" s="0" t="s">
        <v>70</v>
      </c>
      <c r="B47" s="3" t="n">
        <v>800</v>
      </c>
    </row>
    <row r="48" customFormat="false" ht="15" hidden="false" customHeight="false" outlineLevel="0" collapsed="false">
      <c r="A48" s="0" t="s">
        <v>71</v>
      </c>
      <c r="B48" s="3" t="n">
        <v>1</v>
      </c>
    </row>
    <row r="49" customFormat="false" ht="15" hidden="false" customHeight="false" outlineLevel="0" collapsed="false">
      <c r="A49" s="0" t="s">
        <v>72</v>
      </c>
      <c r="B49" s="3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6" t="s">
        <v>74</v>
      </c>
      <c r="B3" s="6" t="s">
        <v>75</v>
      </c>
      <c r="C3" s="6" t="s">
        <v>76</v>
      </c>
    </row>
    <row r="4" customFormat="false" ht="15" hidden="false" customHeight="false" outlineLevel="0" collapsed="false">
      <c r="A4" s="0" t="s">
        <v>77</v>
      </c>
      <c r="B4" s="8" t="n">
        <f aca="false">(1)*(Inputs!$B$21*CHOOSE(Inputs!$B$23,Inputs!$B$12,Inputs!$B$14,Inputs!$B$16)*(1-Inputs!$B$19)+Inputs!$B$22*CHOOSE(Inputs!$B$23,Inputs!$B$13,Inputs!$B$15,Inputs!$B$17))/1000000</f>
        <v>0.0029</v>
      </c>
      <c r="C4" s="9" t="n">
        <f aca="false">B4*Inputs!$B$4</f>
        <v>0.2552</v>
      </c>
    </row>
    <row r="5" customFormat="false" ht="15" hidden="false" customHeight="false" outlineLevel="0" collapsed="false">
      <c r="A5" s="0" t="s">
        <v>78</v>
      </c>
      <c r="B5" s="8" t="n">
        <f aca="false">(1)*(Inputs!$B$25*CHOOSE(Inputs!$B$27,Inputs!$B$12,Inputs!$B$14,Inputs!$B$16)*(1-Inputs!$B$19)+Inputs!$B$26*CHOOSE(Inputs!$B$27,Inputs!$B$13,Inputs!$B$15,Inputs!$B$17))/1000000</f>
        <v>0.0164</v>
      </c>
      <c r="C5" s="9" t="n">
        <f aca="false">B5*Inputs!$B$4</f>
        <v>1.4432</v>
      </c>
    </row>
    <row r="6" customFormat="false" ht="15" hidden="false" customHeight="false" outlineLevel="0" collapsed="false">
      <c r="A6" s="0" t="s">
        <v>79</v>
      </c>
      <c r="B6" s="8" t="n">
        <f aca="false">Inputs!$B$24*Inputs!$B$18</f>
        <v>0.02</v>
      </c>
      <c r="C6" s="9" t="n">
        <f aca="false">B6*Inputs!$B$4</f>
        <v>1.76</v>
      </c>
    </row>
    <row r="7" customFormat="false" ht="15" hidden="false" customHeight="false" outlineLevel="0" collapsed="false">
      <c r="A7" s="0" t="s">
        <v>80</v>
      </c>
      <c r="B7" s="8" t="n">
        <f aca="false">Inputs!$B$38*Inputs!$B$18</f>
        <v>0.01</v>
      </c>
      <c r="C7" s="9" t="n">
        <f aca="false">B7*Inputs!$B$4</f>
        <v>0.88</v>
      </c>
    </row>
    <row r="8" customFormat="false" ht="15" hidden="false" customHeight="false" outlineLevel="0" collapsed="false">
      <c r="A8" s="0" t="s">
        <v>81</v>
      </c>
      <c r="B8" s="8" t="n">
        <f aca="false">(1)*(Inputs!$B$28*CHOOSE(Inputs!$B$30,Inputs!$B$12,Inputs!$B$14,Inputs!$B$16)*(1-Inputs!$B$19)+Inputs!$B$29*CHOOSE(Inputs!$B$30,Inputs!$B$13,Inputs!$B$15,Inputs!$B$17))/1000000</f>
        <v>0.0468</v>
      </c>
      <c r="C8" s="9" t="n">
        <f aca="false">B8*Inputs!$B$4</f>
        <v>4.1184</v>
      </c>
    </row>
    <row r="9" customFormat="false" ht="15" hidden="false" customHeight="false" outlineLevel="0" collapsed="false">
      <c r="A9" s="0" t="s">
        <v>82</v>
      </c>
      <c r="B9" s="8" t="n">
        <f aca="false">(Inputs!$B$31)*(Inputs!$B$32*CHOOSE(Inputs!$B$34,Inputs!$B$12,Inputs!$B$14,Inputs!$B$16)*(1-Inputs!$B$19)+Inputs!$B$33*CHOOSE(Inputs!$B$34,Inputs!$B$13,Inputs!$B$15,Inputs!$B$17))/1000000</f>
        <v>0.0306</v>
      </c>
      <c r="C9" s="9" t="n">
        <f aca="false">B9*Inputs!$B$4</f>
        <v>2.6928</v>
      </c>
    </row>
    <row r="10" customFormat="false" ht="15" hidden="false" customHeight="false" outlineLevel="0" collapsed="false">
      <c r="A10" s="0" t="s">
        <v>83</v>
      </c>
      <c r="B10" s="8" t="n">
        <f aca="false">(1)*(Inputs!$B$35*CHOOSE(Inputs!$B$37,Inputs!$B$12,Inputs!$B$14,Inputs!$B$16)*(1-Inputs!$B$19)+Inputs!$B$36*CHOOSE(Inputs!$B$37,Inputs!$B$13,Inputs!$B$15,Inputs!$B$17))/1000000</f>
        <v>0.0272</v>
      </c>
      <c r="C10" s="9" t="n">
        <f aca="false">B10*Inputs!$B$4</f>
        <v>2.3936</v>
      </c>
    </row>
    <row r="11" customFormat="false" ht="15" hidden="false" customHeight="false" outlineLevel="0" collapsed="false">
      <c r="A11" s="0" t="s">
        <v>84</v>
      </c>
      <c r="B11" s="8" t="n">
        <f aca="false">(Inputs!$B$40)*(Inputs!$B$41*CHOOSE(Inputs!$B$43,Inputs!$B$12,Inputs!$B$14,Inputs!$B$16)*(1-Inputs!$B$19)+Inputs!$B$42*CHOOSE(Inputs!$B$43,Inputs!$B$13,Inputs!$B$15,Inputs!$B$17))/1000000</f>
        <v>0.01288</v>
      </c>
      <c r="C11" s="9" t="n">
        <f aca="false">B11*Inputs!$B$4</f>
        <v>1.13344</v>
      </c>
    </row>
    <row r="12" customFormat="false" ht="15" hidden="false" customHeight="false" outlineLevel="0" collapsed="false">
      <c r="A12" s="0" t="s">
        <v>85</v>
      </c>
      <c r="B12" s="8" t="n">
        <f aca="false">(Inputs!$B$44*Inputs!$B$45)*(Inputs!$B$46*CHOOSE(Inputs!$B$48,Inputs!$B$12,Inputs!$B$14,Inputs!$B$16)*(1-Inputs!$B$19)+Inputs!$B$47*CHOOSE(Inputs!$B$48,Inputs!$B$13,Inputs!$B$15,Inputs!$B$17))/1000000</f>
        <v>0.018</v>
      </c>
      <c r="C12" s="9" t="n">
        <f aca="false">B12*Inputs!$B$4</f>
        <v>1.584</v>
      </c>
    </row>
    <row r="13" customFormat="false" ht="15" hidden="false" customHeight="false" outlineLevel="0" collapsed="false">
      <c r="A13" s="6" t="s">
        <v>86</v>
      </c>
      <c r="B13" s="8" t="n">
        <f aca="false">SUM(B4:B12)</f>
        <v>0.18478</v>
      </c>
      <c r="C13" s="9" t="n">
        <f aca="false">SUM(C4:C12)</f>
        <v>16.26064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2026-10-05T06:51:20Z</dcterms:created>
  <dc:creator>openpyxl</dc:creator>
  <dc:description/>
  <dc:language>en-US</dc:language>
  <cp:lastModifiedBy/>
  <dcterms:modified xsi:type="dcterms:W3CDTF">2026-10-05T06:51:20Z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