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age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ost per prospec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1F4E9E"/>
    </font>
  </fonts>
  <fills count="3">
    <fill>
      <patternFill/>
    </fill>
    <fill>
      <patternFill patternType="gray125"/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2" borderId="0" pivotButton="0" quotePrefix="0" xfId="0"/>
    <xf numFmtId="3" fontId="0" fillId="0" borderId="0" pivotButton="0" quotePrefix="0" xfId="0"/>
    <xf numFmtId="9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Cost, price and margin per client: change the yellow cells here and on Inputs</t>
        </is>
      </c>
    </row>
    <row r="3">
      <c r="A3" s="2" t="inlineStr">
        <is>
          <t>Package</t>
        </is>
      </c>
      <c r="B3" s="2" t="inlineStr">
        <is>
          <t>Price (Rs)</t>
        </is>
      </c>
      <c r="C3" s="2" t="inlineStr">
        <is>
          <t>People</t>
        </is>
      </c>
      <c r="D3" s="2" t="inlineStr">
        <is>
          <t>Founder hours</t>
        </is>
      </c>
      <c r="E3" s="2" t="inlineStr">
        <is>
          <t>Tool cost (Rs, e.g. LGM)</t>
        </is>
      </c>
      <c r="F3" s="2" t="inlineStr">
        <is>
          <t>Claude cost (Rs)</t>
        </is>
      </c>
      <c r="G3" s="2" t="inlineStr">
        <is>
          <t>Setup (Rs)</t>
        </is>
      </c>
      <c r="H3" s="2" t="inlineStr">
        <is>
          <t>Gateway fee (Rs)</t>
        </is>
      </c>
      <c r="I3" s="2" t="inlineStr">
        <is>
          <t>GST (Rs)</t>
        </is>
      </c>
      <c r="J3" s="2" t="inlineStr">
        <is>
          <t>Fixed cost share (Rs)</t>
        </is>
      </c>
      <c r="K3" s="2" t="inlineStr">
        <is>
          <t>Founder time (Rs)</t>
        </is>
      </c>
      <c r="L3" s="2" t="inlineStr">
        <is>
          <t>Total cost (Rs)</t>
        </is>
      </c>
      <c r="M3" s="2" t="inlineStr">
        <is>
          <t>Profit (Rs)</t>
        </is>
      </c>
      <c r="N3" s="2" t="inlineStr">
        <is>
          <t>Margin %</t>
        </is>
      </c>
      <c r="O3" s="2" t="inlineStr">
        <is>
          <t>Cash margin % (excl. founder time)</t>
        </is>
      </c>
    </row>
    <row r="4">
      <c r="A4" t="inlineStr">
        <is>
          <t>Sprint, 7 days</t>
        </is>
      </c>
      <c r="B4" s="3" t="n">
        <v>2499</v>
      </c>
      <c r="C4" s="3" t="n">
        <v>60</v>
      </c>
      <c r="D4" s="3" t="n">
        <v>5</v>
      </c>
      <c r="E4" s="3" t="n">
        <v>0</v>
      </c>
      <c r="F4" s="4">
        <f>C4*'Cost per prospect'!$C$13</f>
        <v/>
      </c>
      <c r="G4" s="4">
        <f>Inputs!$B$49*Inputs!$B$4</f>
        <v/>
      </c>
      <c r="H4" s="4">
        <f>B4*Inputs!$B$5</f>
        <v/>
      </c>
      <c r="I4" s="4">
        <f>B4-B4/(1+Inputs!$B$7*Inputs!$B$6)</f>
        <v/>
      </c>
      <c r="J4" s="4">
        <f>Inputs!$B$9/Inputs!$B$10</f>
        <v/>
      </c>
      <c r="K4" s="4">
        <f>D4*Inputs!$B$8</f>
        <v/>
      </c>
      <c r="L4" s="4">
        <f>SUM(E4:K4)</f>
        <v/>
      </c>
      <c r="M4" s="4">
        <f>B4-L4</f>
        <v/>
      </c>
      <c r="N4" s="5">
        <f>M4/B4</f>
        <v/>
      </c>
      <c r="O4" s="5">
        <f>(M4+K4)/B4</f>
        <v/>
      </c>
    </row>
    <row r="5">
      <c r="A5" t="inlineStr">
        <is>
          <t>Standard, 14 days</t>
        </is>
      </c>
      <c r="B5" s="3" t="n">
        <v>3999</v>
      </c>
      <c r="C5" s="3" t="n">
        <v>120</v>
      </c>
      <c r="D5" s="3" t="n">
        <v>8</v>
      </c>
      <c r="E5" s="3" t="n">
        <v>0</v>
      </c>
      <c r="F5" s="4">
        <f>C5*'Cost per prospect'!$C$13</f>
        <v/>
      </c>
      <c r="G5" s="4">
        <f>Inputs!$B$49*Inputs!$B$4</f>
        <v/>
      </c>
      <c r="H5" s="4">
        <f>B5*Inputs!$B$5</f>
        <v/>
      </c>
      <c r="I5" s="4">
        <f>B5-B5/(1+Inputs!$B$7*Inputs!$B$6)</f>
        <v/>
      </c>
      <c r="J5" s="4">
        <f>Inputs!$B$9/Inputs!$B$10</f>
        <v/>
      </c>
      <c r="K5" s="4">
        <f>D5*Inputs!$B$8</f>
        <v/>
      </c>
      <c r="L5" s="4">
        <f>SUM(E5:K5)</f>
        <v/>
      </c>
      <c r="M5" s="4">
        <f>B5-L5</f>
        <v/>
      </c>
      <c r="N5" s="5">
        <f>M5/B5</f>
        <v/>
      </c>
      <c r="O5" s="5">
        <f>(M5+K5)/B5</f>
        <v/>
      </c>
    </row>
    <row r="6">
      <c r="A6" t="inlineStr">
        <is>
          <t>Full, 21 days</t>
        </is>
      </c>
      <c r="B6" s="3" t="n">
        <v>5499</v>
      </c>
      <c r="C6" s="3" t="n">
        <v>180</v>
      </c>
      <c r="D6" s="3" t="n">
        <v>11</v>
      </c>
      <c r="E6" s="3" t="n">
        <v>0</v>
      </c>
      <c r="F6" s="4">
        <f>C6*'Cost per prospect'!$C$13</f>
        <v/>
      </c>
      <c r="G6" s="4">
        <f>Inputs!$B$49*Inputs!$B$4</f>
        <v/>
      </c>
      <c r="H6" s="4">
        <f>B6*Inputs!$B$5</f>
        <v/>
      </c>
      <c r="I6" s="4">
        <f>B6-B6/(1+Inputs!$B$7*Inputs!$B$6)</f>
        <v/>
      </c>
      <c r="J6" s="4">
        <f>Inputs!$B$9/Inputs!$B$10</f>
        <v/>
      </c>
      <c r="K6" s="4">
        <f>D6*Inputs!$B$8</f>
        <v/>
      </c>
      <c r="L6" s="4">
        <f>SUM(E6:K6)</f>
        <v/>
      </c>
      <c r="M6" s="4">
        <f>B6-L6</f>
        <v/>
      </c>
      <c r="N6" s="5">
        <f>M6/B6</f>
        <v/>
      </c>
      <c r="O6" s="5">
        <f>(M6+K6)/B6</f>
        <v/>
      </c>
    </row>
    <row r="7">
      <c r="A7" t="inlineStr">
        <is>
          <t>Done-for-you (founding)</t>
        </is>
      </c>
      <c r="B7" s="3" t="n">
        <v>14999</v>
      </c>
      <c r="C7" s="3" t="n">
        <v>180</v>
      </c>
      <c r="D7" s="3" t="n">
        <v>16</v>
      </c>
      <c r="E7" s="3" t="n">
        <v>6160</v>
      </c>
      <c r="F7" s="4">
        <f>C7*'Cost per prospect'!$C$13</f>
        <v/>
      </c>
      <c r="G7" s="4">
        <f>Inputs!$B$49*Inputs!$B$4</f>
        <v/>
      </c>
      <c r="H7" s="4">
        <f>B7*Inputs!$B$5</f>
        <v/>
      </c>
      <c r="I7" s="4">
        <f>B7-B7/(1+Inputs!$B$7*Inputs!$B$6)</f>
        <v/>
      </c>
      <c r="J7" s="4">
        <f>Inputs!$B$9/Inputs!$B$10</f>
        <v/>
      </c>
      <c r="K7" s="4">
        <f>D7*Inputs!$B$8</f>
        <v/>
      </c>
      <c r="L7" s="4">
        <f>SUM(E7:K7)</f>
        <v/>
      </c>
      <c r="M7" s="4">
        <f>B7-L7</f>
        <v/>
      </c>
      <c r="N7" s="5">
        <f>M7/B7</f>
        <v/>
      </c>
      <c r="O7" s="5">
        <f>(M7+K7)/B7</f>
        <v/>
      </c>
    </row>
    <row r="8">
      <c r="A8" t="inlineStr">
        <is>
          <t>Done-for-you (standard)</t>
        </is>
      </c>
      <c r="B8" s="3" t="n">
        <v>19999</v>
      </c>
      <c r="C8" s="3" t="n">
        <v>180</v>
      </c>
      <c r="D8" s="3" t="n">
        <v>16</v>
      </c>
      <c r="E8" s="3" t="n">
        <v>6160</v>
      </c>
      <c r="F8" s="4">
        <f>C8*'Cost per prospect'!$C$13</f>
        <v/>
      </c>
      <c r="G8" s="4">
        <f>Inputs!$B$49*Inputs!$B$4</f>
        <v/>
      </c>
      <c r="H8" s="4">
        <f>B8*Inputs!$B$5</f>
        <v/>
      </c>
      <c r="I8" s="4">
        <f>B8-B8/(1+Inputs!$B$7*Inputs!$B$6)</f>
        <v/>
      </c>
      <c r="J8" s="4">
        <f>Inputs!$B$9/Inputs!$B$10</f>
        <v/>
      </c>
      <c r="K8" s="4">
        <f>D8*Inputs!$B$8</f>
        <v/>
      </c>
      <c r="L8" s="4">
        <f>SUM(E8:K8)</f>
        <v/>
      </c>
      <c r="M8" s="4">
        <f>B8-L8</f>
        <v/>
      </c>
      <c r="N8" s="5">
        <f>M8/B8</f>
        <v/>
      </c>
      <c r="O8" s="5">
        <f>(M8+K8)/B8</f>
        <v/>
      </c>
    </row>
    <row r="11">
      <c r="A11" t="inlineStr">
        <is>
          <t>Notes: Claude cost uses the step assumptions on Inputs (estimates until measured with the cost command). Done-for-you tool cost = one La Growth Machine Basic identity month (about $70). Founder hours are estimates.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72" customWidth="1" min="1" max="1"/>
    <col width="14" customWidth="1" min="2" max="2"/>
    <col width="28" customWidth="1" min="3" max="3"/>
  </cols>
  <sheetData>
    <row r="1">
      <c r="A1" s="1" t="inlineStr">
        <is>
          <t>Knock unit economics: change the yellow cells</t>
        </is>
      </c>
    </row>
    <row r="3">
      <c r="A3" s="6" t="inlineStr">
        <is>
          <t>General</t>
        </is>
      </c>
    </row>
    <row r="4">
      <c r="A4" t="inlineStr">
        <is>
          <t>USD to INR</t>
        </is>
      </c>
      <c r="B4" s="3" t="n">
        <v>88</v>
      </c>
      <c r="C4" t="inlineStr"/>
    </row>
    <row r="5">
      <c r="A5" t="inlineStr">
        <is>
          <t>Payment gateway fee % (Razorpay 2% + 18% GST on fee)</t>
        </is>
      </c>
      <c r="B5" s="3" t="n">
        <v>0.0236</v>
      </c>
      <c r="C5" t="inlineStr"/>
    </row>
    <row r="6">
      <c r="A6" t="inlineStr">
        <is>
          <t>Charge GST to client? (1 yes, 0 no; needed above Rs 20 lakh turnover)</t>
        </is>
      </c>
      <c r="B6" s="3" t="n">
        <v>0</v>
      </c>
      <c r="C6" t="inlineStr"/>
    </row>
    <row r="7">
      <c r="A7" t="inlineStr">
        <is>
          <t>GST rate</t>
        </is>
      </c>
      <c r="B7" s="3" t="n">
        <v>0.18</v>
      </c>
      <c r="C7" t="inlineStr"/>
    </row>
    <row r="8">
      <c r="A8" t="inlineStr">
        <is>
          <t>Founder or operator cost per hour (Rs)</t>
        </is>
      </c>
      <c r="B8" s="3" t="n">
        <v>500</v>
      </c>
      <c r="C8" t="inlineStr">
        <is>
          <t>what your time is worth</t>
        </is>
      </c>
    </row>
    <row r="9">
      <c r="A9" t="inlineStr">
        <is>
          <t>Monthly fixed costs (Rs): Vercel Pro, domain, misc</t>
        </is>
      </c>
      <c r="B9" s="3" t="n">
        <v>2500</v>
      </c>
      <c r="C9" t="inlineStr"/>
    </row>
    <row r="10">
      <c r="A10" t="inlineStr">
        <is>
          <t>Clients per month (to spread fixed costs)</t>
        </is>
      </c>
      <c r="B10" s="3" t="n">
        <v>5</v>
      </c>
      <c r="C10" t="inlineStr"/>
    </row>
    <row r="11">
      <c r="A11" s="6" t="inlineStr">
        <is>
          <t>Model prices (USD per million tokens)</t>
        </is>
      </c>
    </row>
    <row r="12">
      <c r="A12" t="inlineStr">
        <is>
          <t>Opus 5.5 input</t>
        </is>
      </c>
      <c r="B12" s="3" t="n">
        <v>4</v>
      </c>
      <c r="C12" t="inlineStr"/>
    </row>
    <row r="13">
      <c r="A13" t="inlineStr">
        <is>
          <t>Opus 5.5 output</t>
        </is>
      </c>
      <c r="B13" s="3" t="n">
        <v>20</v>
      </c>
      <c r="C13" t="inlineStr"/>
    </row>
    <row r="14">
      <c r="A14" t="inlineStr">
        <is>
          <t>Sonnet 5.5 input</t>
        </is>
      </c>
      <c r="B14" s="3" t="n">
        <v>2</v>
      </c>
      <c r="C14" t="inlineStr"/>
    </row>
    <row r="15">
      <c r="A15" t="inlineStr">
        <is>
          <t>Sonnet 5.5 output</t>
        </is>
      </c>
      <c r="B15" s="3" t="n">
        <v>10</v>
      </c>
      <c r="C15" t="inlineStr"/>
    </row>
    <row r="16">
      <c r="A16" t="inlineStr">
        <is>
          <t>Haiku 4.5 input</t>
        </is>
      </c>
      <c r="B16" s="3" t="n">
        <v>1</v>
      </c>
      <c r="C16" t="inlineStr"/>
    </row>
    <row r="17">
      <c r="A17" t="inlineStr">
        <is>
          <t>Haiku 4.5 output</t>
        </is>
      </c>
      <c r="B17" s="3" t="n">
        <v>5</v>
      </c>
      <c r="C17" t="inlineStr"/>
    </row>
    <row r="18">
      <c r="A18" t="inlineStr">
        <is>
          <t>Web search, USD per search</t>
        </is>
      </c>
      <c r="B18" s="3" t="n">
        <v>0.01</v>
      </c>
      <c r="C18" t="inlineStr"/>
    </row>
    <row r="19">
      <c r="A19" t="inlineStr">
        <is>
          <t>Prompt caching saving on input (0 to 0.6)</t>
        </is>
      </c>
      <c r="B19" s="3" t="n">
        <v>0.3</v>
      </c>
      <c r="C19" t="inlineStr">
        <is>
          <t>repeated system prompts</t>
        </is>
      </c>
    </row>
    <row r="20">
      <c r="A20" s="6" t="inlineStr">
        <is>
          <t>Per-prospect work (output includes thinking). Model: 1 Opus, 2 Sonnet, 3 Haiku</t>
        </is>
      </c>
    </row>
    <row r="21">
      <c r="A21" t="inlineStr">
        <is>
          <t>Classify: input tokens</t>
        </is>
      </c>
      <c r="B21" s="3" t="n">
        <v>2000</v>
      </c>
      <c r="C21" t="inlineStr"/>
    </row>
    <row r="22">
      <c r="A22" t="inlineStr">
        <is>
          <t>Classify: output tokens</t>
        </is>
      </c>
      <c r="B22" s="3" t="n">
        <v>300</v>
      </c>
      <c r="C22" t="inlineStr"/>
    </row>
    <row r="23">
      <c r="A23" t="inlineStr">
        <is>
          <t>Classify: model</t>
        </is>
      </c>
      <c r="B23" s="3" t="n">
        <v>3</v>
      </c>
      <c r="C23" t="inlineStr"/>
    </row>
    <row r="24">
      <c r="A24" t="inlineStr">
        <is>
          <t>Enrich: searches</t>
        </is>
      </c>
      <c r="B24" s="3" t="n">
        <v>2</v>
      </c>
      <c r="C24" t="inlineStr"/>
    </row>
    <row r="25">
      <c r="A25" t="inlineStr">
        <is>
          <t>Enrich: input tokens</t>
        </is>
      </c>
      <c r="B25" s="3" t="n">
        <v>6000</v>
      </c>
      <c r="C25" t="inlineStr"/>
    </row>
    <row r="26">
      <c r="A26" t="inlineStr">
        <is>
          <t>Enrich: output tokens</t>
        </is>
      </c>
      <c r="B26" s="3" t="n">
        <v>800</v>
      </c>
      <c r="C26" t="inlineStr"/>
    </row>
    <row r="27">
      <c r="A27" t="inlineStr">
        <is>
          <t>Enrich: model</t>
        </is>
      </c>
      <c r="B27" s="3" t="n">
        <v>2</v>
      </c>
      <c r="C27" t="inlineStr"/>
    </row>
    <row r="28">
      <c r="A28" t="inlineStr">
        <is>
          <t>Hooks: input tokens</t>
        </is>
      </c>
      <c r="B28" s="3" t="n">
        <v>6000</v>
      </c>
      <c r="C28" t="inlineStr"/>
    </row>
    <row r="29">
      <c r="A29" t="inlineStr">
        <is>
          <t>Hooks: output tokens</t>
        </is>
      </c>
      <c r="B29" s="3" t="n">
        <v>1500</v>
      </c>
      <c r="C29" t="inlineStr"/>
    </row>
    <row r="30">
      <c r="A30" t="inlineStr">
        <is>
          <t>Hooks: model</t>
        </is>
      </c>
      <c r="B30" s="3" t="n">
        <v>1</v>
      </c>
      <c r="C30" t="inlineStr"/>
    </row>
    <row r="31">
      <c r="A31" t="inlineStr">
        <is>
          <t>Writers: count</t>
        </is>
      </c>
      <c r="B31" s="3" t="n">
        <v>3</v>
      </c>
      <c r="C31" t="inlineStr"/>
    </row>
    <row r="32">
      <c r="A32" t="inlineStr">
        <is>
          <t>Writer: input tokens each</t>
        </is>
      </c>
      <c r="B32" s="3" t="n">
        <v>3000</v>
      </c>
      <c r="C32" t="inlineStr"/>
    </row>
    <row r="33">
      <c r="A33" t="inlineStr">
        <is>
          <t>Writer: output tokens each</t>
        </is>
      </c>
      <c r="B33" s="3" t="n">
        <v>600</v>
      </c>
      <c r="C33" t="inlineStr"/>
    </row>
    <row r="34">
      <c r="A34" t="inlineStr">
        <is>
          <t>Writers: model</t>
        </is>
      </c>
      <c r="B34" s="3" t="n">
        <v>2</v>
      </c>
      <c r="C34" t="inlineStr"/>
    </row>
    <row r="35">
      <c r="A35" t="inlineStr">
        <is>
          <t>Judge: input tokens</t>
        </is>
      </c>
      <c r="B35" s="3" t="n">
        <v>4000</v>
      </c>
      <c r="C35" t="inlineStr"/>
    </row>
    <row r="36">
      <c r="A36" t="inlineStr">
        <is>
          <t>Judge: output tokens</t>
        </is>
      </c>
      <c r="B36" s="3" t="n">
        <v>800</v>
      </c>
      <c r="C36" t="inlineStr"/>
    </row>
    <row r="37">
      <c r="A37" t="inlineStr">
        <is>
          <t>Judge: model</t>
        </is>
      </c>
      <c r="B37" s="3" t="n">
        <v>1</v>
      </c>
      <c r="C37" t="inlineStr"/>
    </row>
    <row r="38">
      <c r="A38" t="inlineStr">
        <is>
          <t>Discovery searches per prospect (amortised)</t>
        </is>
      </c>
      <c r="B38" s="3" t="n">
        <v>1</v>
      </c>
      <c r="C38" t="inlineStr"/>
    </row>
    <row r="39">
      <c r="A39" s="6" t="inlineStr">
        <is>
          <t>Conversation</t>
        </is>
      </c>
    </row>
    <row r="40">
      <c r="A40" t="inlineStr">
        <is>
          <t>Share of prospects that get a follow-up</t>
        </is>
      </c>
      <c r="B40" s="3" t="n">
        <v>0.7</v>
      </c>
      <c r="C40" t="inlineStr"/>
    </row>
    <row r="41">
      <c r="A41" t="inlineStr">
        <is>
          <t>Follow-up: input tokens</t>
        </is>
      </c>
      <c r="B41" s="3" t="n">
        <v>3000</v>
      </c>
      <c r="C41" t="inlineStr"/>
    </row>
    <row r="42">
      <c r="A42" t="inlineStr">
        <is>
          <t>Follow-up: output tokens</t>
        </is>
      </c>
      <c r="B42" s="3" t="n">
        <v>500</v>
      </c>
      <c r="C42" t="inlineStr"/>
    </row>
    <row r="43">
      <c r="A43" t="inlineStr">
        <is>
          <t>Follow-up: model</t>
        </is>
      </c>
      <c r="B43" s="3" t="n">
        <v>1</v>
      </c>
      <c r="C43" t="inlineStr"/>
    </row>
    <row r="44">
      <c r="A44" t="inlineStr">
        <is>
          <t>Reply rate</t>
        </is>
      </c>
      <c r="B44" s="3" t="n">
        <v>0.3</v>
      </c>
      <c r="C44" t="inlineStr">
        <is>
          <t>replies per prospect</t>
        </is>
      </c>
    </row>
    <row r="45">
      <c r="A45" t="inlineStr">
        <is>
          <t>Exchanges per reply</t>
        </is>
      </c>
      <c r="B45" s="3" t="n">
        <v>2</v>
      </c>
      <c r="C45" t="inlineStr"/>
    </row>
    <row r="46">
      <c r="A46" t="inlineStr">
        <is>
          <t>Reply draft: input tokens</t>
        </is>
      </c>
      <c r="B46" s="3" t="n">
        <v>5000</v>
      </c>
      <c r="C46" t="inlineStr"/>
    </row>
    <row r="47">
      <c r="A47" t="inlineStr">
        <is>
          <t>Reply draft: output tokens</t>
        </is>
      </c>
      <c r="B47" s="3" t="n">
        <v>800</v>
      </c>
      <c r="C47" t="inlineStr"/>
    </row>
    <row r="48">
      <c r="A48" t="inlineStr">
        <is>
          <t>Reply draft: model</t>
        </is>
      </c>
      <c r="B48" s="3" t="n">
        <v>1</v>
      </c>
      <c r="C48" t="inlineStr"/>
    </row>
    <row r="49">
      <c r="A49" t="inlineStr">
        <is>
          <t>Per client setup (USD): profile extraction + learning runs</t>
        </is>
      </c>
      <c r="B49" s="3" t="n">
        <v>0.5</v>
      </c>
      <c r="C4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</cols>
  <sheetData>
    <row r="1">
      <c r="A1" s="1" t="inlineStr">
        <is>
          <t>Claude cost per prospect</t>
        </is>
      </c>
    </row>
    <row r="3">
      <c r="A3" s="6" t="inlineStr">
        <is>
          <t>Step</t>
        </is>
      </c>
      <c r="B3" s="6" t="inlineStr">
        <is>
          <t>USD</t>
        </is>
      </c>
      <c r="C3" s="6" t="inlineStr">
        <is>
          <t>INR</t>
        </is>
      </c>
    </row>
    <row r="4">
      <c r="A4" t="inlineStr">
        <is>
          <t>Classify</t>
        </is>
      </c>
      <c r="B4" s="7">
        <f>(1)*(Inputs!$B$21*CHOOSE(Inputs!$B$23,Inputs!$B$12,Inputs!$B$14,Inputs!$B$16)*(1-Inputs!$B$19)+Inputs!$B$22*CHOOSE(Inputs!$B$23,Inputs!$B$13,Inputs!$B$15,Inputs!$B$17))/1000000</f>
        <v/>
      </c>
      <c r="C4" s="8">
        <f>B4*Inputs!$B$4</f>
        <v/>
      </c>
    </row>
    <row r="5">
      <c r="A5" t="inlineStr">
        <is>
          <t>Enrich (model)</t>
        </is>
      </c>
      <c r="B5" s="7">
        <f>(1)*(Inputs!$B$25*CHOOSE(Inputs!$B$27,Inputs!$B$12,Inputs!$B$14,Inputs!$B$16)*(1-Inputs!$B$19)+Inputs!$B$26*CHOOSE(Inputs!$B$27,Inputs!$B$13,Inputs!$B$15,Inputs!$B$17))/1000000</f>
        <v/>
      </c>
      <c r="C5" s="8">
        <f>B5*Inputs!$B$4</f>
        <v/>
      </c>
    </row>
    <row r="6">
      <c r="A6" t="inlineStr">
        <is>
          <t>Enrich (searches)</t>
        </is>
      </c>
      <c r="B6" s="7">
        <f>Inputs!$B$24*Inputs!$B$18</f>
        <v/>
      </c>
      <c r="C6" s="8">
        <f>B6*Inputs!$B$4</f>
        <v/>
      </c>
    </row>
    <row r="7">
      <c r="A7" t="inlineStr">
        <is>
          <t>Discovery searches</t>
        </is>
      </c>
      <c r="B7" s="7">
        <f>Inputs!$B$38*Inputs!$B$18</f>
        <v/>
      </c>
      <c r="C7" s="8">
        <f>B7*Inputs!$B$4</f>
        <v/>
      </c>
    </row>
    <row r="8">
      <c r="A8" t="inlineStr">
        <is>
          <t>Hooks</t>
        </is>
      </c>
      <c r="B8" s="7">
        <f>(1)*(Inputs!$B$28*CHOOSE(Inputs!$B$30,Inputs!$B$12,Inputs!$B$14,Inputs!$B$16)*(1-Inputs!$B$19)+Inputs!$B$29*CHOOSE(Inputs!$B$30,Inputs!$B$13,Inputs!$B$15,Inputs!$B$17))/1000000</f>
        <v/>
      </c>
      <c r="C8" s="8">
        <f>B8*Inputs!$B$4</f>
        <v/>
      </c>
    </row>
    <row r="9">
      <c r="A9" t="inlineStr">
        <is>
          <t>Writers</t>
        </is>
      </c>
      <c r="B9" s="7">
        <f>(Inputs!$B$31)*(Inputs!$B$32*CHOOSE(Inputs!$B$34,Inputs!$B$12,Inputs!$B$14,Inputs!$B$16)*(1-Inputs!$B$19)+Inputs!$B$33*CHOOSE(Inputs!$B$34,Inputs!$B$13,Inputs!$B$15,Inputs!$B$17))/1000000</f>
        <v/>
      </c>
      <c r="C9" s="8">
        <f>B9*Inputs!$B$4</f>
        <v/>
      </c>
    </row>
    <row r="10">
      <c r="A10" t="inlineStr">
        <is>
          <t>Judge</t>
        </is>
      </c>
      <c r="B10" s="7">
        <f>(1)*(Inputs!$B$35*CHOOSE(Inputs!$B$37,Inputs!$B$12,Inputs!$B$14,Inputs!$B$16)*(1-Inputs!$B$19)+Inputs!$B$36*CHOOSE(Inputs!$B$37,Inputs!$B$13,Inputs!$B$15,Inputs!$B$17))/1000000</f>
        <v/>
      </c>
      <c r="C10" s="8">
        <f>B10*Inputs!$B$4</f>
        <v/>
      </c>
    </row>
    <row r="11">
      <c r="A11" t="inlineStr">
        <is>
          <t>Follow-ups</t>
        </is>
      </c>
      <c r="B11" s="7">
        <f>(Inputs!$B$40)*(Inputs!$B$41*CHOOSE(Inputs!$B$43,Inputs!$B$12,Inputs!$B$14,Inputs!$B$16)*(1-Inputs!$B$19)+Inputs!$B$42*CHOOSE(Inputs!$B$43,Inputs!$B$13,Inputs!$B$15,Inputs!$B$17))/1000000</f>
        <v/>
      </c>
      <c r="C11" s="8">
        <f>B11*Inputs!$B$4</f>
        <v/>
      </c>
    </row>
    <row r="12">
      <c r="A12" t="inlineStr">
        <is>
          <t>Reply drafts</t>
        </is>
      </c>
      <c r="B12" s="7">
        <f>(Inputs!$B$44*Inputs!$B$45)*(Inputs!$B$46*CHOOSE(Inputs!$B$48,Inputs!$B$12,Inputs!$B$14,Inputs!$B$16)*(1-Inputs!$B$19)+Inputs!$B$47*CHOOSE(Inputs!$B$48,Inputs!$B$13,Inputs!$B$15,Inputs!$B$17))/1000000</f>
        <v/>
      </c>
      <c r="C12" s="8">
        <f>B12*Inputs!$B$4</f>
        <v/>
      </c>
    </row>
    <row r="13">
      <c r="A13" s="6" t="inlineStr">
        <is>
          <t>Total per prospect</t>
        </is>
      </c>
      <c r="B13" s="7">
        <f>SUM(B4:B12)</f>
        <v/>
      </c>
      <c r="C13" s="8">
        <f>SUM(C4:C12)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2026-10-05T06:51:20Z</dcterms:created>
  <dcterms:modified xmlns:dcterms="http://purl.org/dc/terms/" xmlns:xsi="http://www.w3.org/2001/XMLSchema-instance" xsi:type="dcterms:W3CDTF">2026-10-05T06:51:20Z</dcterms:modified>
</cp:coreProperties>
</file>